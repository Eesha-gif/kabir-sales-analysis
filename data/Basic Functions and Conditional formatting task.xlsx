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kabir-sales-analysis\data\"/>
    </mc:Choice>
  </mc:AlternateContent>
  <xr:revisionPtr revIDLastSave="0" documentId="13_ncr:1_{3AD989F5-1592-4EE8-99EE-C211A09E46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18" i="1" l="1"/>
  <c r="U19" i="1"/>
  <c r="U20" i="1"/>
  <c r="U21" i="1"/>
  <c r="T18" i="1"/>
  <c r="T19" i="1"/>
  <c r="T20" i="1"/>
  <c r="T21" i="1"/>
  <c r="T17" i="1"/>
  <c r="U17" i="1"/>
  <c r="S17" i="1"/>
  <c r="S18" i="1"/>
  <c r="S19" i="1"/>
  <c r="S20" i="1"/>
  <c r="S21" i="1"/>
  <c r="I5" i="1"/>
  <c r="I6" i="1"/>
  <c r="O17" i="1"/>
  <c r="O18" i="1"/>
  <c r="O19" i="1"/>
  <c r="O20" i="1"/>
  <c r="O16" i="1"/>
  <c r="N17" i="1"/>
  <c r="N18" i="1"/>
  <c r="N19" i="1"/>
  <c r="N20" i="1"/>
  <c r="N16" i="1"/>
  <c r="J21" i="1"/>
  <c r="I21" i="1"/>
  <c r="J20" i="1"/>
  <c r="I20" i="1"/>
  <c r="J18" i="1"/>
  <c r="J19" i="1"/>
  <c r="I19" i="1"/>
  <c r="I18" i="1"/>
  <c r="J17" i="1"/>
  <c r="I17" i="1"/>
  <c r="J16" i="1"/>
  <c r="I16" i="1"/>
  <c r="P5" i="1"/>
  <c r="P6" i="1"/>
  <c r="P7" i="1"/>
  <c r="P8" i="1"/>
  <c r="P4" i="1"/>
  <c r="J6" i="1"/>
  <c r="K6" i="1"/>
  <c r="I7" i="1"/>
  <c r="J7" i="1"/>
  <c r="K7" i="1"/>
  <c r="I8" i="1"/>
  <c r="J8" i="1"/>
  <c r="K8" i="1"/>
  <c r="I9" i="1"/>
  <c r="J9" i="1"/>
  <c r="K9" i="1"/>
  <c r="J5" i="1"/>
  <c r="K5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<sst xmlns="http://schemas.openxmlformats.org/spreadsheetml/2006/main" count="72" uniqueCount="26">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</sst>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4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3" fillId="4" borderId="15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6" xfId="0" applyBorder="1"/>
    <xf numFmtId="164" fontId="1" fillId="0" borderId="5" xfId="1" applyFont="1" applyFill="1" applyBorder="1" applyAlignment="1"/>
    <xf numFmtId="0" fontId="0" fillId="0" borderId="17" xfId="0" applyBorder="1"/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">
    <dxf>
      <fill>
        <patternFill>
          <bgColor rgb="FFC0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tabSelected="1" zoomScale="63" zoomScaleNormal="63" workbookViewId="0">
      <selection activeCell="R9" sqref="R9"/>
    </sheetView>
  </sheetViews>
  <sheetFormatPr defaultRowHeight="14.5" x14ac:dyDescent="0.35"/>
  <cols>
    <col min="2" max="2" width="9.1796875" bestFit="1" customWidth="1"/>
    <col min="6" max="6" width="13.81640625" customWidth="1"/>
    <col min="9" max="11" width="10.08984375" bestFit="1" customWidth="1"/>
    <col min="15" max="15" width="10.453125" customWidth="1"/>
    <col min="19" max="19" width="13.54296875" customWidth="1"/>
  </cols>
  <sheetData>
    <row r="1" spans="1:21" ht="25" x14ac:dyDescent="0.5">
      <c r="A1" s="32" t="s">
        <v>0</v>
      </c>
      <c r="B1" s="32"/>
      <c r="C1" s="32"/>
      <c r="D1" s="32"/>
      <c r="E1" s="32"/>
      <c r="F1" s="32"/>
    </row>
    <row r="2" spans="1:21" ht="18" thickBo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1" ht="15" thickBot="1" x14ac:dyDescent="0.4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I3" s="26" t="s">
        <v>24</v>
      </c>
      <c r="J3" s="27"/>
      <c r="K3" s="28"/>
      <c r="N3" s="7"/>
      <c r="O3" s="8" t="s">
        <v>9</v>
      </c>
      <c r="P3" s="9" t="s">
        <v>10</v>
      </c>
    </row>
    <row r="4" spans="1:21" x14ac:dyDescent="0.35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6"/>
      <c r="H4" s="19" t="s">
        <v>4</v>
      </c>
      <c r="I4" s="20">
        <v>2010</v>
      </c>
      <c r="J4" s="21">
        <v>2011</v>
      </c>
      <c r="K4" s="22">
        <v>2012</v>
      </c>
      <c r="N4" s="29" t="s">
        <v>12</v>
      </c>
      <c r="O4" s="13" t="s">
        <v>13</v>
      </c>
      <c r="P4" s="14">
        <f>COUNTIF($D$3:$D$26,O4)</f>
        <v>6</v>
      </c>
    </row>
    <row r="5" spans="1:21" x14ac:dyDescent="0.35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23" t="s">
        <v>13</v>
      </c>
      <c r="I5" s="24">
        <f>SUMIFS($F$3:$F$26,$D$3:$D$26,$H5,$C$3:$C$26,I$4)</f>
        <v>12320</v>
      </c>
      <c r="J5" s="24">
        <f t="shared" ref="J5:K9" si="1">SUMIFS($F$3:$F$26,$D$3:$D$26,$H5,$C$3:$C$26,J$4)</f>
        <v>23100</v>
      </c>
      <c r="K5" s="24">
        <f t="shared" si="1"/>
        <v>25520</v>
      </c>
      <c r="N5" s="30"/>
      <c r="O5" s="13" t="s">
        <v>7</v>
      </c>
      <c r="P5" s="14">
        <f t="shared" ref="P5:P8" si="2">COUNTIF($D$3:$D$26,O5)</f>
        <v>3</v>
      </c>
    </row>
    <row r="6" spans="1:21" x14ac:dyDescent="0.3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23" t="s">
        <v>7</v>
      </c>
      <c r="I6" s="24">
        <f>SUMIFS($F$3:$F$26,$D$3:$D$26,$H6,$C$3:$C$26,I$4)</f>
        <v>16720</v>
      </c>
      <c r="J6" s="24">
        <f t="shared" si="1"/>
        <v>6160</v>
      </c>
      <c r="K6" s="24">
        <f t="shared" si="1"/>
        <v>7920</v>
      </c>
      <c r="N6" s="30"/>
      <c r="O6" s="13" t="s">
        <v>15</v>
      </c>
      <c r="P6" s="14">
        <f t="shared" si="2"/>
        <v>5</v>
      </c>
    </row>
    <row r="7" spans="1:21" x14ac:dyDescent="0.35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23" t="s">
        <v>15</v>
      </c>
      <c r="I7" s="24">
        <f t="shared" ref="I7:I9" si="3">SUMIFS($F$3:$F$26,$D$3:$D$26,$H7,$C$3:$C$26,I$4)</f>
        <v>26840</v>
      </c>
      <c r="J7" s="24">
        <f t="shared" si="1"/>
        <v>0</v>
      </c>
      <c r="K7" s="24">
        <f t="shared" si="1"/>
        <v>15840</v>
      </c>
      <c r="N7" s="30"/>
      <c r="O7" s="13" t="s">
        <v>18</v>
      </c>
      <c r="P7" s="14">
        <f t="shared" si="2"/>
        <v>3</v>
      </c>
    </row>
    <row r="8" spans="1:21" ht="15" thickBot="1" x14ac:dyDescent="0.4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23" t="s">
        <v>18</v>
      </c>
      <c r="I8" s="24">
        <f t="shared" si="3"/>
        <v>19800</v>
      </c>
      <c r="J8" s="24">
        <f t="shared" si="1"/>
        <v>20900</v>
      </c>
      <c r="K8" s="24">
        <f t="shared" si="1"/>
        <v>11440</v>
      </c>
      <c r="N8" s="31"/>
      <c r="O8" s="17" t="s">
        <v>11</v>
      </c>
      <c r="P8" s="14">
        <f t="shared" si="2"/>
        <v>7</v>
      </c>
    </row>
    <row r="9" spans="1:21" ht="15" thickBot="1" x14ac:dyDescent="0.4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25" t="s">
        <v>11</v>
      </c>
      <c r="I9" s="24">
        <f t="shared" si="3"/>
        <v>29040</v>
      </c>
      <c r="J9" s="24">
        <f t="shared" si="1"/>
        <v>33440</v>
      </c>
      <c r="K9" s="24">
        <f t="shared" si="1"/>
        <v>20240</v>
      </c>
    </row>
    <row r="10" spans="1:21" x14ac:dyDescent="0.35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</row>
    <row r="11" spans="1:21" x14ac:dyDescent="0.35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1" x14ac:dyDescent="0.35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21" ht="15" thickBot="1" x14ac:dyDescent="0.4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1" ht="15" thickBot="1" x14ac:dyDescent="0.4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33" t="s">
        <v>8</v>
      </c>
      <c r="I14" s="34"/>
      <c r="J14" s="35"/>
    </row>
    <row r="15" spans="1:21" ht="15" thickBot="1" x14ac:dyDescent="0.4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0"/>
      <c r="I15" s="11" t="s">
        <v>10</v>
      </c>
      <c r="J15" s="12" t="s">
        <v>6</v>
      </c>
      <c r="L15" s="7"/>
      <c r="M15" s="8" t="s">
        <v>9</v>
      </c>
      <c r="N15" s="8" t="s">
        <v>10</v>
      </c>
      <c r="O15" s="9" t="s">
        <v>6</v>
      </c>
      <c r="S15" s="26" t="s">
        <v>22</v>
      </c>
      <c r="T15" s="27"/>
      <c r="U15" s="28"/>
    </row>
    <row r="16" spans="1:21" x14ac:dyDescent="0.3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5" t="s">
        <v>14</v>
      </c>
      <c r="I16" s="13">
        <f>SUM(E3:E26)</f>
        <v>1224</v>
      </c>
      <c r="J16" s="16">
        <f>SUM(F3:F26)</f>
        <v>269280</v>
      </c>
      <c r="L16" s="29" t="s">
        <v>23</v>
      </c>
      <c r="M16" s="13" t="s">
        <v>13</v>
      </c>
      <c r="N16" s="13">
        <f>SUMIF(D$3:D$26,M16,E$3:E$26)</f>
        <v>277</v>
      </c>
      <c r="O16" s="13">
        <f>SUMIF(D$3:D$26,M16,F$3:F$26)</f>
        <v>60940</v>
      </c>
      <c r="R16" s="19" t="s">
        <v>4</v>
      </c>
      <c r="S16" s="20">
        <v>2010</v>
      </c>
      <c r="T16" s="21">
        <v>2011</v>
      </c>
      <c r="U16" s="22">
        <v>2012</v>
      </c>
    </row>
    <row r="17" spans="1:21" x14ac:dyDescent="0.35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5" t="s">
        <v>16</v>
      </c>
      <c r="I17" s="13">
        <f>MIN(E3:E26)</f>
        <v>24</v>
      </c>
      <c r="J17" s="16">
        <f>MIN(F3:F26)</f>
        <v>5280</v>
      </c>
      <c r="L17" s="30"/>
      <c r="M17" s="13" t="s">
        <v>7</v>
      </c>
      <c r="N17" s="13">
        <f t="shared" ref="N17:N20" si="4">SUMIF(D$3:D$26,M17,E$3:E$26)</f>
        <v>140</v>
      </c>
      <c r="O17" s="13">
        <f t="shared" ref="O17:O20" si="5">SUMIF(D$3:D$26,M17,F$3:F$26)</f>
        <v>30800</v>
      </c>
      <c r="R17" s="23" t="s">
        <v>13</v>
      </c>
      <c r="S17" s="24">
        <f>SUMIFS($E$3:$E$26,$C$3:$C$26,S$16,$D$3:$D$26,$R17)</f>
        <v>56</v>
      </c>
      <c r="T17" s="24">
        <f t="shared" ref="T17:U21" si="6">SUMIFS($E$3:$E$26,$C$3:$C$26,T$16,$D$3:$D$26,$R17)</f>
        <v>105</v>
      </c>
      <c r="U17" s="24">
        <f t="shared" si="6"/>
        <v>116</v>
      </c>
    </row>
    <row r="18" spans="1:21" x14ac:dyDescent="0.35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5" t="s">
        <v>17</v>
      </c>
      <c r="I18" s="13">
        <f>MAX(E3:E26)</f>
        <v>95</v>
      </c>
      <c r="J18" s="13">
        <f>MAX(F3:F26)</f>
        <v>20900</v>
      </c>
      <c r="L18" s="30"/>
      <c r="M18" s="13" t="s">
        <v>15</v>
      </c>
      <c r="N18" s="13">
        <f t="shared" si="4"/>
        <v>194</v>
      </c>
      <c r="O18" s="13">
        <f t="shared" si="5"/>
        <v>42680</v>
      </c>
      <c r="R18" s="23" t="s">
        <v>7</v>
      </c>
      <c r="S18" s="24">
        <f t="shared" ref="S18:S21" si="7">SUMIFS(E$3:E$26,C$3:C$26,S$16,D$3:D$26,R18)</f>
        <v>76</v>
      </c>
      <c r="T18" s="24">
        <f t="shared" si="6"/>
        <v>28</v>
      </c>
      <c r="U18" s="24">
        <f t="shared" si="6"/>
        <v>36</v>
      </c>
    </row>
    <row r="19" spans="1:21" x14ac:dyDescent="0.35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5" t="s">
        <v>19</v>
      </c>
      <c r="I19" s="13">
        <f>AVERAGE(E3:E26)</f>
        <v>51</v>
      </c>
      <c r="J19" s="13">
        <f>AVERAGE(F3:F26)</f>
        <v>11220</v>
      </c>
      <c r="L19" s="30"/>
      <c r="M19" s="13" t="s">
        <v>18</v>
      </c>
      <c r="N19" s="13">
        <f t="shared" si="4"/>
        <v>237</v>
      </c>
      <c r="O19" s="13">
        <f t="shared" si="5"/>
        <v>52140</v>
      </c>
      <c r="R19" s="23" t="s">
        <v>15</v>
      </c>
      <c r="S19" s="24">
        <f t="shared" si="7"/>
        <v>122</v>
      </c>
      <c r="T19" s="24">
        <f t="shared" si="6"/>
        <v>0</v>
      </c>
      <c r="U19" s="24">
        <f t="shared" si="6"/>
        <v>72</v>
      </c>
    </row>
    <row r="20" spans="1:21" ht="15" thickBot="1" x14ac:dyDescent="0.4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5" t="s">
        <v>20</v>
      </c>
      <c r="I20" s="13">
        <f>COUNT(E3:E26)</f>
        <v>24</v>
      </c>
      <c r="J20" s="13">
        <f>COUNT(F3:F26)</f>
        <v>24</v>
      </c>
      <c r="L20" s="31"/>
      <c r="M20" s="17" t="s">
        <v>11</v>
      </c>
      <c r="N20" s="13">
        <f t="shared" si="4"/>
        <v>376</v>
      </c>
      <c r="O20" s="13">
        <f t="shared" si="5"/>
        <v>82720</v>
      </c>
      <c r="R20" s="23" t="s">
        <v>18</v>
      </c>
      <c r="S20" s="24">
        <f t="shared" si="7"/>
        <v>90</v>
      </c>
      <c r="T20" s="24">
        <f t="shared" si="6"/>
        <v>95</v>
      </c>
      <c r="U20" s="24">
        <f t="shared" si="6"/>
        <v>52</v>
      </c>
    </row>
    <row r="21" spans="1:21" ht="15" thickBot="1" x14ac:dyDescent="0.4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18" t="s">
        <v>21</v>
      </c>
      <c r="I21" s="13">
        <f>COUNTA(E3:E26)</f>
        <v>24</v>
      </c>
      <c r="J21" s="13">
        <f>COUNTA(F3:F26)</f>
        <v>24</v>
      </c>
      <c r="R21" s="25" t="s">
        <v>11</v>
      </c>
      <c r="S21" s="24">
        <f t="shared" si="7"/>
        <v>132</v>
      </c>
      <c r="T21" s="24">
        <f t="shared" si="6"/>
        <v>152</v>
      </c>
      <c r="U21" s="24">
        <f t="shared" si="6"/>
        <v>92</v>
      </c>
    </row>
    <row r="22" spans="1:21" x14ac:dyDescent="0.35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  <c r="S22" s="24"/>
    </row>
    <row r="23" spans="1:21" x14ac:dyDescent="0.35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21" x14ac:dyDescent="0.35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21" x14ac:dyDescent="0.3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  <c r="G25" t="s">
        <v>25</v>
      </c>
    </row>
    <row r="26" spans="1:21" x14ac:dyDescent="0.35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</sheetData>
  <mergeCells count="6">
    <mergeCell ref="S15:U15"/>
    <mergeCell ref="L16:L20"/>
    <mergeCell ref="I3:K3"/>
    <mergeCell ref="A1:F1"/>
    <mergeCell ref="H14:J14"/>
    <mergeCell ref="N4:N8"/>
  </mergeCells>
  <conditionalFormatting sqref="F1:F1048576">
    <cfRule type="cellIs" dxfId="1" priority="2" operator="greaterThan">
      <formula>15000</formula>
    </cfRule>
  </conditionalFormatting>
  <conditionalFormatting sqref="F3:F26">
    <cfRule type="cellIs" dxfId="0" priority="1" operator="lessThan">
      <formula>6000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Ayishat Busola</cp:lastModifiedBy>
  <dcterms:created xsi:type="dcterms:W3CDTF">2024-05-08T21:08:42Z</dcterms:created>
  <dcterms:modified xsi:type="dcterms:W3CDTF">2026-05-08T18:36:23Z</dcterms:modified>
</cp:coreProperties>
</file>